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xanda\OneDrive\Área de Trabalho\SPTECH\Projeto Individual\projeto_individual_primeiro_semestre\Documentação\"/>
    </mc:Choice>
  </mc:AlternateContent>
  <xr:revisionPtr revIDLastSave="0" documentId="13_ncr:1_{56AB0249-BB5C-4FCC-A422-BD1737A9EA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6" i="1"/>
  <c r="L4" i="1"/>
  <c r="P3" i="1"/>
  <c r="P4" i="1" s="1"/>
  <c r="P5" i="1" s="1"/>
  <c r="O3" i="1"/>
  <c r="N2" i="1"/>
  <c r="L5" i="1"/>
  <c r="O4" i="1" l="1"/>
  <c r="O5" i="1" s="1"/>
  <c r="L2" i="1"/>
</calcChain>
</file>

<file path=xl/sharedStrings.xml><?xml version="1.0" encoding="utf-8"?>
<sst xmlns="http://schemas.openxmlformats.org/spreadsheetml/2006/main" count="168" uniqueCount="57">
  <si>
    <t>Item</t>
  </si>
  <si>
    <t>Requisito</t>
  </si>
  <si>
    <t>Classificação</t>
  </si>
  <si>
    <t>Tamanho</t>
  </si>
  <si>
    <t>Tam (#)</t>
  </si>
  <si>
    <t>Prioridade</t>
  </si>
  <si>
    <t>SPRINT</t>
  </si>
  <si>
    <t>Membro</t>
  </si>
  <si>
    <t>Pontos Fibonacci</t>
  </si>
  <si>
    <t>Pontos Planejados</t>
  </si>
  <si>
    <t>Pontos Entregues</t>
  </si>
  <si>
    <t>Estimativa</t>
  </si>
  <si>
    <t>Restante</t>
  </si>
  <si>
    <t>Configurar projeto no GitHub</t>
  </si>
  <si>
    <t>Importante</t>
  </si>
  <si>
    <t>P</t>
  </si>
  <si>
    <t>Sprint 1</t>
  </si>
  <si>
    <t>Total</t>
  </si>
  <si>
    <t>Configurar ferramenta de gestão de projeto</t>
  </si>
  <si>
    <t>PP</t>
  </si>
  <si>
    <t>Desenvolver backlog do projeto</t>
  </si>
  <si>
    <t>Essencial</t>
  </si>
  <si>
    <t>Sprint 2</t>
  </si>
  <si>
    <t>Desenvolver contexto do projeto</t>
  </si>
  <si>
    <t>M</t>
  </si>
  <si>
    <t>Sprint 3</t>
  </si>
  <si>
    <t>Desenvolver objetivo do projeto</t>
  </si>
  <si>
    <t>Sprint 4</t>
  </si>
  <si>
    <t>Desenvolver justificativa do projeto</t>
  </si>
  <si>
    <t>Desenvolver escopo do projeto</t>
  </si>
  <si>
    <t>G</t>
  </si>
  <si>
    <t>Desenvolver gráfico burndown</t>
  </si>
  <si>
    <t>Desejavel</t>
  </si>
  <si>
    <t>Criar modelagem lógica (DER)</t>
  </si>
  <si>
    <t>Desenvolver o script do banco de dados</t>
  </si>
  <si>
    <t>Criar design da landing page</t>
  </si>
  <si>
    <t>Criar design da página de login</t>
  </si>
  <si>
    <t>Criar design da página de cadastro</t>
  </si>
  <si>
    <t>Criar design da dashboard</t>
  </si>
  <si>
    <t>GG</t>
  </si>
  <si>
    <t>Definir o elemento de interação com o usuário</t>
  </si>
  <si>
    <t>Definir as KPIS da dashboard</t>
  </si>
  <si>
    <t>Definir os dados presentes na dashboard</t>
  </si>
  <si>
    <t>Desenvolver frontend da dashboard</t>
  </si>
  <si>
    <t>Desenvolver backend da landing page</t>
  </si>
  <si>
    <t>Desenvolver backend da página de login</t>
  </si>
  <si>
    <t>Desenvolver backend da página de cadastro</t>
  </si>
  <si>
    <t>Instalar MySQL na máquina virtual</t>
  </si>
  <si>
    <t>Integrar API para cadastro e login</t>
  </si>
  <si>
    <t>Integrar API para requisição do banco de dados</t>
  </si>
  <si>
    <t>Desenvolver diagrama de visão de negócio</t>
  </si>
  <si>
    <t>Desenvolver diagrama de solução técnica</t>
  </si>
  <si>
    <t>Alexandre</t>
  </si>
  <si>
    <t>Desenvolver página de questionário</t>
  </si>
  <si>
    <t>Desenvolver backend página de questionário</t>
  </si>
  <si>
    <t>Integrar API à dashboard</t>
  </si>
  <si>
    <t>Acessar banco de dados da 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</si>
</sst>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2" xfId="0" applyBorder="1"/>
    <xf numFmtId="0" fontId="0" fillId="0" borderId="0" xfId="0" applyAlignment="1">
      <alignment horizontal="center"/>
    </xf>
    <xf numFmtId="0" fontId="2" fillId="0" borderId="0" xfId="0" applyFont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color rgb="FF000000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color rgb="FF000000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Burndown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Planilha1!$O$1</c:f>
              <c:strCache>
                <c:ptCount val="1"/>
                <c:pt idx="0">
                  <c:v>Estimativa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Planilha1!$K$2:$K$6</c:f>
              <c:strCache>
                <c:ptCount val="5"/>
                <c:pt idx="0">
                  <c:v>Total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</c:strCache>
            </c:strRef>
          </c:cat>
          <c:val>
            <c:numRef>
              <c:f>Planilha1!$O$2:$O$6</c:f>
              <c:numCache>
                <c:formatCode>General</c:formatCode>
                <c:ptCount val="5"/>
                <c:pt idx="0">
                  <c:v>298</c:v>
                </c:pt>
                <c:pt idx="1">
                  <c:v>206</c:v>
                </c:pt>
                <c:pt idx="2">
                  <c:v>88</c:v>
                </c:pt>
                <c:pt idx="3">
                  <c:v>28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A-4CF0-9B7B-EAD1B2C22C01}"/>
            </c:ext>
          </c:extLst>
        </c:ser>
        <c:ser>
          <c:idx val="4"/>
          <c:order val="4"/>
          <c:tx>
            <c:strRef>
              <c:f>Planilha1!$P$1</c:f>
              <c:strCache>
                <c:ptCount val="1"/>
                <c:pt idx="0">
                  <c:v>Restante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Planilha1!$K$2:$K$6</c:f>
              <c:strCache>
                <c:ptCount val="5"/>
                <c:pt idx="0">
                  <c:v>Total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</c:strCache>
            </c:strRef>
          </c:cat>
          <c:val>
            <c:numRef>
              <c:f>Planilha1!$P$2:$P$6</c:f>
              <c:numCache>
                <c:formatCode>General</c:formatCode>
                <c:ptCount val="5"/>
                <c:pt idx="0">
                  <c:v>282</c:v>
                </c:pt>
                <c:pt idx="1">
                  <c:v>190</c:v>
                </c:pt>
                <c:pt idx="2">
                  <c:v>72</c:v>
                </c:pt>
                <c:pt idx="3">
                  <c:v>12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8A-4CF0-9B7B-EAD1B2C22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317096"/>
        <c:axId val="2903143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Planilha1!$L$1</c15:sqref>
                        </c15:formulaRef>
                      </c:ext>
                    </c:extLst>
                    <c:strCache>
                      <c:ptCount val="1"/>
                      <c:pt idx="0">
                        <c:v>Pontos Fibonacci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Planilha1!$K$2:$K$6</c15:sqref>
                        </c15:formulaRef>
                      </c:ext>
                    </c:extLst>
                    <c:strCache>
                      <c:ptCount val="5"/>
                      <c:pt idx="0">
                        <c:v>Total</c:v>
                      </c:pt>
                      <c:pt idx="1">
                        <c:v>Sprint 1</c:v>
                      </c:pt>
                      <c:pt idx="2">
                        <c:v>Sprint 2</c:v>
                      </c:pt>
                      <c:pt idx="3">
                        <c:v>Sprint 3</c:v>
                      </c:pt>
                      <c:pt idx="4">
                        <c:v>Sprint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Planilha1!$L$2:$L$6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393</c:v>
                      </c:pt>
                      <c:pt idx="1">
                        <c:v>92</c:v>
                      </c:pt>
                      <c:pt idx="2">
                        <c:v>118</c:v>
                      </c:pt>
                      <c:pt idx="3">
                        <c:v>60</c:v>
                      </c:pt>
                      <c:pt idx="4">
                        <c:v>123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68A-4CF0-9B7B-EAD1B2C22C0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Planilha1!$M$1</c15:sqref>
                        </c15:formulaRef>
                      </c:ext>
                    </c:extLst>
                    <c:strCache>
                      <c:ptCount val="1"/>
                      <c:pt idx="0">
                        <c:v>Pontos Planejados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Planilha1!$K$2:$K$6</c15:sqref>
                        </c15:formulaRef>
                      </c:ext>
                    </c:extLst>
                    <c:strCache>
                      <c:ptCount val="5"/>
                      <c:pt idx="0">
                        <c:v>Total</c:v>
                      </c:pt>
                      <c:pt idx="1">
                        <c:v>Sprint 1</c:v>
                      </c:pt>
                      <c:pt idx="2">
                        <c:v>Sprint 2</c:v>
                      </c:pt>
                      <c:pt idx="3">
                        <c:v>Sprint 3</c:v>
                      </c:pt>
                      <c:pt idx="4">
                        <c:v>Sprint 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Planilha1!$M$2:$M$6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393</c:v>
                      </c:pt>
                      <c:pt idx="1">
                        <c:v>92</c:v>
                      </c:pt>
                      <c:pt idx="2">
                        <c:v>118</c:v>
                      </c:pt>
                      <c:pt idx="3">
                        <c:v>60</c:v>
                      </c:pt>
                      <c:pt idx="4">
                        <c:v>123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8A-4CF0-9B7B-EAD1B2C22C0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Planilha1!$N$1</c15:sqref>
                        </c15:formulaRef>
                      </c:ext>
                    </c:extLst>
                    <c:strCache>
                      <c:ptCount val="1"/>
                      <c:pt idx="0">
                        <c:v>Pontos Entregues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Planilha1!$K$2:$K$6</c15:sqref>
                        </c15:formulaRef>
                      </c:ext>
                    </c:extLst>
                    <c:strCache>
                      <c:ptCount val="5"/>
                      <c:pt idx="0">
                        <c:v>Total</c:v>
                      </c:pt>
                      <c:pt idx="1">
                        <c:v>Sprint 1</c:v>
                      </c:pt>
                      <c:pt idx="2">
                        <c:v>Sprint 2</c:v>
                      </c:pt>
                      <c:pt idx="3">
                        <c:v>Sprint 3</c:v>
                      </c:pt>
                      <c:pt idx="4">
                        <c:v>Sprint 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Planilha1!$N$2:$N$6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393</c:v>
                      </c:pt>
                      <c:pt idx="1">
                        <c:v>92</c:v>
                      </c:pt>
                      <c:pt idx="2">
                        <c:v>118</c:v>
                      </c:pt>
                      <c:pt idx="3">
                        <c:v>60</c:v>
                      </c:pt>
                      <c:pt idx="4">
                        <c:v>123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8A-4CF0-9B7B-EAD1B2C22C01}"/>
                  </c:ext>
                </c:extLst>
              </c15:ser>
            </c15:filteredLineSeries>
          </c:ext>
        </c:extLst>
      </c:lineChart>
      <c:catAx>
        <c:axId val="290317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0314352"/>
        <c:crosses val="autoZero"/>
        <c:auto val="1"/>
        <c:lblAlgn val="ctr"/>
        <c:lblOffset val="100"/>
        <c:noMultiLvlLbl val="0"/>
      </c:catAx>
      <c:valAx>
        <c:axId val="2903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0317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7</xdr:row>
      <xdr:rowOff>180975</xdr:rowOff>
    </xdr:from>
    <xdr:to>
      <xdr:col>15</xdr:col>
      <xdr:colOff>590550</xdr:colOff>
      <xdr:row>23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H37" totalsRowShown="0" headerRowDxfId="12" dataDxfId="10" headerRowBorderDxfId="11" tableBorderDxfId="9" totalsRowBorderDxfId="8">
  <autoFilter ref="A1:H37" xr:uid="{00000000-0009-0000-0100-000001000000}"/>
  <sortState xmlns:xlrd2="http://schemas.microsoft.com/office/spreadsheetml/2017/richdata2" ref="A3:H30">
    <sortCondition ref="G1:G30"/>
  </sortState>
  <tableColumns count="8">
    <tableColumn id="1" xr3:uid="{00000000-0010-0000-0000-000001000000}" name="Item" dataDxfId="7"/>
    <tableColumn id="2" xr3:uid="{00000000-0010-0000-0000-000002000000}" name="Requisito" dataDxfId="6"/>
    <tableColumn id="4" xr3:uid="{00000000-0010-0000-0000-000004000000}" name="Classificação" dataDxfId="5"/>
    <tableColumn id="5" xr3:uid="{00000000-0010-0000-0000-000005000000}" name="Tamanho" dataDxfId="4"/>
    <tableColumn id="6" xr3:uid="{00000000-0010-0000-0000-000006000000}" name="Tam (#)" dataDxfId="3"/>
    <tableColumn id="7" xr3:uid="{00000000-0010-0000-0000-000007000000}" name="Prioridade" dataDxfId="2"/>
    <tableColumn id="8" xr3:uid="{00000000-0010-0000-0000-000008000000}" name="SPRINT" dataDxfId="1"/>
    <tableColumn id="9" xr3:uid="{00000000-0010-0000-0000-000009000000}" name="Membro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workbookViewId="0">
      <selection activeCell="J41" sqref="J41"/>
    </sheetView>
  </sheetViews>
  <sheetFormatPr defaultRowHeight="15" x14ac:dyDescent="0.25"/>
  <cols>
    <col min="1" max="1" width="8.85546875" customWidth="1"/>
    <col min="2" max="2" width="47" customWidth="1"/>
    <col min="3" max="3" width="16.42578125" customWidth="1"/>
    <col min="4" max="5" width="14.85546875" customWidth="1"/>
    <col min="6" max="6" width="13" customWidth="1"/>
    <col min="7" max="7" width="12.85546875" customWidth="1"/>
    <col min="8" max="8" width="13.5703125" customWidth="1"/>
    <col min="9" max="9" width="10.5703125" bestFit="1" customWidth="1"/>
    <col min="10" max="10" width="5.28515625" customWidth="1"/>
    <col min="11" max="11" width="15.140625" customWidth="1"/>
    <col min="12" max="12" width="17.7109375" customWidth="1"/>
    <col min="13" max="13" width="17.42578125" customWidth="1"/>
    <col min="14" max="15" width="18.28515625" customWidth="1"/>
    <col min="16" max="16" width="10.28515625" customWidth="1"/>
    <col min="17" max="17" width="19.28515625" customWidth="1"/>
    <col min="18" max="18" width="10.140625" customWidth="1"/>
  </cols>
  <sheetData>
    <row r="1" spans="1:16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L1" s="20" t="s">
        <v>8</v>
      </c>
      <c r="M1" s="20" t="s">
        <v>9</v>
      </c>
      <c r="N1" s="20" t="s">
        <v>10</v>
      </c>
      <c r="O1" s="21" t="s">
        <v>11</v>
      </c>
      <c r="P1" s="22" t="s">
        <v>12</v>
      </c>
    </row>
    <row r="2" spans="1:16" x14ac:dyDescent="0.25">
      <c r="A2" s="14">
        <v>1</v>
      </c>
      <c r="B2" s="15" t="s">
        <v>13</v>
      </c>
      <c r="C2" s="15" t="s">
        <v>14</v>
      </c>
      <c r="D2" s="15" t="s">
        <v>15</v>
      </c>
      <c r="E2" s="15">
        <v>5</v>
      </c>
      <c r="F2" s="15">
        <v>2</v>
      </c>
      <c r="G2" s="15" t="s">
        <v>16</v>
      </c>
      <c r="H2" s="16" t="s">
        <v>52</v>
      </c>
      <c r="K2" s="17" t="s">
        <v>17</v>
      </c>
      <c r="L2" s="1">
        <f>SUM(L3,L4,L5,L6)</f>
        <v>393</v>
      </c>
      <c r="M2" s="1">
        <v>393</v>
      </c>
      <c r="N2" s="1">
        <f>SUM(N3,N4,N5,N6)</f>
        <v>393</v>
      </c>
      <c r="O2" s="7">
        <v>298</v>
      </c>
      <c r="P2" s="6">
        <v>282</v>
      </c>
    </row>
    <row r="3" spans="1:16" x14ac:dyDescent="0.25">
      <c r="A3" s="14">
        <v>2</v>
      </c>
      <c r="B3" s="15" t="s">
        <v>18</v>
      </c>
      <c r="C3" s="15" t="s">
        <v>14</v>
      </c>
      <c r="D3" s="15" t="s">
        <v>19</v>
      </c>
      <c r="E3" s="15">
        <v>3</v>
      </c>
      <c r="F3" s="15">
        <v>2</v>
      </c>
      <c r="G3" s="15" t="s">
        <v>16</v>
      </c>
      <c r="H3" s="16" t="s">
        <v>52</v>
      </c>
      <c r="K3" s="17" t="s">
        <v>16</v>
      </c>
      <c r="L3" s="1">
        <f>SUM(E2:E9)</f>
        <v>92</v>
      </c>
      <c r="M3" s="1">
        <v>92</v>
      </c>
      <c r="N3" s="1">
        <v>92</v>
      </c>
      <c r="O3" s="7">
        <f t="shared" ref="O3:P5" si="0">O2-M3</f>
        <v>206</v>
      </c>
      <c r="P3" s="6">
        <f t="shared" si="0"/>
        <v>190</v>
      </c>
    </row>
    <row r="4" spans="1:16" x14ac:dyDescent="0.25">
      <c r="A4" s="14">
        <v>3</v>
      </c>
      <c r="B4" s="15" t="s">
        <v>20</v>
      </c>
      <c r="C4" s="15" t="s">
        <v>21</v>
      </c>
      <c r="D4" s="15" t="s">
        <v>30</v>
      </c>
      <c r="E4" s="15">
        <v>21</v>
      </c>
      <c r="F4" s="15">
        <v>1</v>
      </c>
      <c r="G4" s="15" t="s">
        <v>16</v>
      </c>
      <c r="H4" s="16" t="s">
        <v>52</v>
      </c>
      <c r="K4" s="17" t="s">
        <v>22</v>
      </c>
      <c r="L4" s="1">
        <f>SUM(E10:E18)</f>
        <v>118</v>
      </c>
      <c r="M4" s="1">
        <v>118</v>
      </c>
      <c r="N4" s="1">
        <v>118</v>
      </c>
      <c r="O4" s="7">
        <f t="shared" si="0"/>
        <v>88</v>
      </c>
      <c r="P4" s="6">
        <f t="shared" si="0"/>
        <v>72</v>
      </c>
    </row>
    <row r="5" spans="1:16" x14ac:dyDescent="0.25">
      <c r="A5" s="14">
        <v>4</v>
      </c>
      <c r="B5" s="15" t="s">
        <v>23</v>
      </c>
      <c r="C5" s="15" t="s">
        <v>21</v>
      </c>
      <c r="D5" s="15" t="s">
        <v>30</v>
      </c>
      <c r="E5" s="15">
        <v>13</v>
      </c>
      <c r="F5" s="15">
        <v>1</v>
      </c>
      <c r="G5" s="15" t="s">
        <v>16</v>
      </c>
      <c r="H5" s="16" t="s">
        <v>52</v>
      </c>
      <c r="K5" s="18" t="s">
        <v>25</v>
      </c>
      <c r="L5" s="3">
        <f>SUM(E19:E23)</f>
        <v>60</v>
      </c>
      <c r="M5" s="3">
        <v>60</v>
      </c>
      <c r="N5" s="3">
        <v>60</v>
      </c>
      <c r="O5" s="2">
        <f t="shared" si="0"/>
        <v>28</v>
      </c>
      <c r="P5" s="6">
        <f t="shared" si="0"/>
        <v>12</v>
      </c>
    </row>
    <row r="6" spans="1:16" x14ac:dyDescent="0.25">
      <c r="A6" s="14">
        <v>5</v>
      </c>
      <c r="B6" s="15" t="s">
        <v>26</v>
      </c>
      <c r="C6" s="15" t="s">
        <v>21</v>
      </c>
      <c r="D6" s="15" t="s">
        <v>15</v>
      </c>
      <c r="E6" s="15">
        <v>8</v>
      </c>
      <c r="F6" s="15">
        <v>1</v>
      </c>
      <c r="G6" s="15" t="s">
        <v>16</v>
      </c>
      <c r="H6" s="16" t="s">
        <v>52</v>
      </c>
      <c r="K6" s="19" t="s">
        <v>27</v>
      </c>
      <c r="L6" s="6">
        <f>SUM(E24:E31)</f>
        <v>123</v>
      </c>
      <c r="M6" s="6">
        <v>123</v>
      </c>
      <c r="N6" s="6">
        <v>123</v>
      </c>
      <c r="O6" s="8">
        <v>0</v>
      </c>
      <c r="P6" s="6">
        <v>0</v>
      </c>
    </row>
    <row r="7" spans="1:16" x14ac:dyDescent="0.25">
      <c r="A7" s="14">
        <v>6</v>
      </c>
      <c r="B7" s="15" t="s">
        <v>28</v>
      </c>
      <c r="C7" s="15" t="s">
        <v>21</v>
      </c>
      <c r="D7" s="15" t="s">
        <v>15</v>
      </c>
      <c r="E7" s="15">
        <v>8</v>
      </c>
      <c r="F7" s="15">
        <v>1</v>
      </c>
      <c r="G7" s="15" t="s">
        <v>16</v>
      </c>
      <c r="H7" s="16" t="s">
        <v>52</v>
      </c>
      <c r="K7" s="4"/>
      <c r="O7" s="5"/>
    </row>
    <row r="8" spans="1:16" x14ac:dyDescent="0.25">
      <c r="A8" s="14">
        <v>7</v>
      </c>
      <c r="B8" s="15" t="s">
        <v>29</v>
      </c>
      <c r="C8" s="15" t="s">
        <v>21</v>
      </c>
      <c r="D8" s="15" t="s">
        <v>30</v>
      </c>
      <c r="E8" s="15">
        <v>13</v>
      </c>
      <c r="F8" s="15">
        <v>1</v>
      </c>
      <c r="G8" s="15" t="s">
        <v>16</v>
      </c>
      <c r="H8" s="16" t="s">
        <v>52</v>
      </c>
    </row>
    <row r="9" spans="1:16" x14ac:dyDescent="0.25">
      <c r="A9" s="14">
        <v>8</v>
      </c>
      <c r="B9" s="15" t="s">
        <v>31</v>
      </c>
      <c r="C9" s="15" t="s">
        <v>32</v>
      </c>
      <c r="D9" s="15" t="s">
        <v>39</v>
      </c>
      <c r="E9" s="15">
        <v>21</v>
      </c>
      <c r="F9" s="15">
        <v>1</v>
      </c>
      <c r="G9" s="15" t="s">
        <v>16</v>
      </c>
      <c r="H9" s="16" t="s">
        <v>52</v>
      </c>
    </row>
    <row r="10" spans="1:16" x14ac:dyDescent="0.25">
      <c r="A10" s="14">
        <v>9</v>
      </c>
      <c r="B10" s="15" t="s">
        <v>33</v>
      </c>
      <c r="C10" s="15" t="s">
        <v>21</v>
      </c>
      <c r="D10" s="15" t="s">
        <v>24</v>
      </c>
      <c r="E10" s="15">
        <v>13</v>
      </c>
      <c r="F10" s="15">
        <v>2</v>
      </c>
      <c r="G10" s="15" t="s">
        <v>22</v>
      </c>
      <c r="H10" s="16" t="s">
        <v>52</v>
      </c>
    </row>
    <row r="11" spans="1:16" x14ac:dyDescent="0.25">
      <c r="A11" s="14">
        <v>10</v>
      </c>
      <c r="B11" s="15" t="s">
        <v>34</v>
      </c>
      <c r="C11" s="15" t="s">
        <v>21</v>
      </c>
      <c r="D11" s="15" t="s">
        <v>24</v>
      </c>
      <c r="E11" s="15">
        <v>13</v>
      </c>
      <c r="F11" s="15">
        <v>2</v>
      </c>
      <c r="G11" s="15" t="s">
        <v>22</v>
      </c>
      <c r="H11" s="16" t="s">
        <v>52</v>
      </c>
    </row>
    <row r="12" spans="1:16" x14ac:dyDescent="0.25">
      <c r="A12" s="14">
        <v>11</v>
      </c>
      <c r="B12" s="15" t="s">
        <v>35</v>
      </c>
      <c r="C12" s="15" t="s">
        <v>21</v>
      </c>
      <c r="D12" s="15" t="s">
        <v>30</v>
      </c>
      <c r="E12" s="15">
        <v>21</v>
      </c>
      <c r="F12" s="15">
        <v>2</v>
      </c>
      <c r="G12" s="15" t="s">
        <v>22</v>
      </c>
      <c r="H12" s="16" t="s">
        <v>52</v>
      </c>
    </row>
    <row r="13" spans="1:16" x14ac:dyDescent="0.25">
      <c r="A13" s="14">
        <v>12</v>
      </c>
      <c r="B13" s="15" t="s">
        <v>36</v>
      </c>
      <c r="C13" s="15" t="s">
        <v>21</v>
      </c>
      <c r="D13" s="15" t="s">
        <v>24</v>
      </c>
      <c r="E13" s="15">
        <v>21</v>
      </c>
      <c r="F13" s="15">
        <v>2</v>
      </c>
      <c r="G13" s="15" t="s">
        <v>22</v>
      </c>
      <c r="H13" s="16" t="s">
        <v>52</v>
      </c>
    </row>
    <row r="14" spans="1:16" x14ac:dyDescent="0.25">
      <c r="A14" s="14">
        <v>13</v>
      </c>
      <c r="B14" s="15" t="s">
        <v>37</v>
      </c>
      <c r="C14" s="15" t="s">
        <v>21</v>
      </c>
      <c r="D14" s="15" t="s">
        <v>24</v>
      </c>
      <c r="E14" s="15">
        <v>21</v>
      </c>
      <c r="F14" s="15">
        <v>2</v>
      </c>
      <c r="G14" s="15" t="s">
        <v>22</v>
      </c>
      <c r="H14" s="16" t="s">
        <v>52</v>
      </c>
    </row>
    <row r="15" spans="1:16" x14ac:dyDescent="0.25">
      <c r="A15" s="14">
        <v>14</v>
      </c>
      <c r="B15" s="15" t="s">
        <v>47</v>
      </c>
      <c r="C15" s="15" t="s">
        <v>21</v>
      </c>
      <c r="D15" s="15" t="s">
        <v>15</v>
      </c>
      <c r="E15" s="15">
        <v>5</v>
      </c>
      <c r="F15" s="15">
        <v>3</v>
      </c>
      <c r="G15" s="15" t="s">
        <v>22</v>
      </c>
      <c r="H15" s="16" t="s">
        <v>52</v>
      </c>
    </row>
    <row r="16" spans="1:16" x14ac:dyDescent="0.25">
      <c r="A16" s="14">
        <v>15</v>
      </c>
      <c r="B16" s="15" t="s">
        <v>56</v>
      </c>
      <c r="C16" s="15" t="s">
        <v>21</v>
      </c>
      <c r="D16" s="15" t="s">
        <v>19</v>
      </c>
      <c r="E16" s="15">
        <v>3</v>
      </c>
      <c r="F16" s="15">
        <v>3</v>
      </c>
      <c r="G16" s="15" t="s">
        <v>22</v>
      </c>
      <c r="H16" s="16" t="s">
        <v>52</v>
      </c>
    </row>
    <row r="17" spans="1:8" x14ac:dyDescent="0.25">
      <c r="A17" s="14">
        <v>16</v>
      </c>
      <c r="B17" s="15" t="s">
        <v>50</v>
      </c>
      <c r="C17" s="15" t="s">
        <v>14</v>
      </c>
      <c r="D17" s="15" t="s">
        <v>15</v>
      </c>
      <c r="E17" s="15">
        <v>13</v>
      </c>
      <c r="F17" s="15">
        <v>3</v>
      </c>
      <c r="G17" s="15" t="s">
        <v>22</v>
      </c>
      <c r="H17" s="16" t="s">
        <v>52</v>
      </c>
    </row>
    <row r="18" spans="1:8" x14ac:dyDescent="0.25">
      <c r="A18" s="14">
        <v>17</v>
      </c>
      <c r="B18" s="15" t="s">
        <v>51</v>
      </c>
      <c r="C18" s="15" t="s">
        <v>14</v>
      </c>
      <c r="D18" s="15" t="s">
        <v>15</v>
      </c>
      <c r="E18" s="15">
        <v>8</v>
      </c>
      <c r="F18" s="15">
        <v>3</v>
      </c>
      <c r="G18" s="15" t="s">
        <v>22</v>
      </c>
      <c r="H18" s="16" t="s">
        <v>52</v>
      </c>
    </row>
    <row r="19" spans="1:8" x14ac:dyDescent="0.25">
      <c r="A19" s="14">
        <v>18</v>
      </c>
      <c r="B19" s="15" t="s">
        <v>38</v>
      </c>
      <c r="C19" s="15" t="s">
        <v>32</v>
      </c>
      <c r="D19" s="15" t="s">
        <v>39</v>
      </c>
      <c r="E19" s="15">
        <v>21</v>
      </c>
      <c r="F19" s="15">
        <v>2</v>
      </c>
      <c r="G19" s="15" t="s">
        <v>25</v>
      </c>
      <c r="H19" s="16" t="s">
        <v>52</v>
      </c>
    </row>
    <row r="20" spans="1:8" x14ac:dyDescent="0.25">
      <c r="A20" s="14">
        <v>19</v>
      </c>
      <c r="B20" s="15" t="s">
        <v>40</v>
      </c>
      <c r="C20" s="15" t="s">
        <v>14</v>
      </c>
      <c r="D20" s="15" t="s">
        <v>24</v>
      </c>
      <c r="E20" s="15">
        <v>13</v>
      </c>
      <c r="F20" s="15">
        <v>2</v>
      </c>
      <c r="G20" s="15" t="s">
        <v>25</v>
      </c>
      <c r="H20" s="16" t="s">
        <v>52</v>
      </c>
    </row>
    <row r="21" spans="1:8" x14ac:dyDescent="0.25">
      <c r="A21" s="14">
        <v>20</v>
      </c>
      <c r="B21" s="15" t="s">
        <v>44</v>
      </c>
      <c r="C21" s="15" t="s">
        <v>21</v>
      </c>
      <c r="D21" s="15" t="s">
        <v>30</v>
      </c>
      <c r="E21" s="15">
        <v>13</v>
      </c>
      <c r="F21" s="15">
        <v>3</v>
      </c>
      <c r="G21" s="15" t="s">
        <v>25</v>
      </c>
      <c r="H21" s="16" t="s">
        <v>52</v>
      </c>
    </row>
    <row r="22" spans="1:8" x14ac:dyDescent="0.25">
      <c r="A22" s="14">
        <v>21</v>
      </c>
      <c r="B22" s="15" t="s">
        <v>45</v>
      </c>
      <c r="C22" s="15" t="s">
        <v>21</v>
      </c>
      <c r="D22" s="15" t="s">
        <v>15</v>
      </c>
      <c r="E22" s="15">
        <v>5</v>
      </c>
      <c r="F22" s="15">
        <v>3</v>
      </c>
      <c r="G22" s="15" t="s">
        <v>25</v>
      </c>
      <c r="H22" s="16" t="s">
        <v>52</v>
      </c>
    </row>
    <row r="23" spans="1:8" x14ac:dyDescent="0.25">
      <c r="A23" s="14">
        <v>22</v>
      </c>
      <c r="B23" s="15" t="s">
        <v>46</v>
      </c>
      <c r="C23" s="15" t="s">
        <v>21</v>
      </c>
      <c r="D23" s="15" t="s">
        <v>24</v>
      </c>
      <c r="E23" s="15">
        <v>8</v>
      </c>
      <c r="F23" s="15">
        <v>3</v>
      </c>
      <c r="G23" s="15" t="s">
        <v>25</v>
      </c>
      <c r="H23" s="16" t="s">
        <v>52</v>
      </c>
    </row>
    <row r="24" spans="1:8" x14ac:dyDescent="0.25">
      <c r="A24" s="14">
        <v>23</v>
      </c>
      <c r="B24" s="15" t="s">
        <v>41</v>
      </c>
      <c r="C24" s="15" t="s">
        <v>21</v>
      </c>
      <c r="D24" s="15" t="s">
        <v>15</v>
      </c>
      <c r="E24" s="15">
        <v>13</v>
      </c>
      <c r="F24" s="15">
        <v>2</v>
      </c>
      <c r="G24" s="15" t="s">
        <v>27</v>
      </c>
      <c r="H24" s="16" t="s">
        <v>52</v>
      </c>
    </row>
    <row r="25" spans="1:8" x14ac:dyDescent="0.25">
      <c r="A25" s="14">
        <v>24</v>
      </c>
      <c r="B25" s="15" t="s">
        <v>42</v>
      </c>
      <c r="C25" s="15" t="s">
        <v>21</v>
      </c>
      <c r="D25" s="15" t="s">
        <v>15</v>
      </c>
      <c r="E25" s="15">
        <v>13</v>
      </c>
      <c r="F25" s="15">
        <v>1</v>
      </c>
      <c r="G25" s="15" t="s">
        <v>27</v>
      </c>
      <c r="H25" s="16" t="s">
        <v>52</v>
      </c>
    </row>
    <row r="26" spans="1:8" x14ac:dyDescent="0.25">
      <c r="A26" s="14">
        <v>25</v>
      </c>
      <c r="B26" s="15" t="s">
        <v>43</v>
      </c>
      <c r="C26" s="15" t="s">
        <v>21</v>
      </c>
      <c r="D26" s="15" t="s">
        <v>39</v>
      </c>
      <c r="E26" s="15">
        <v>21</v>
      </c>
      <c r="F26" s="15">
        <v>2</v>
      </c>
      <c r="G26" s="15" t="s">
        <v>27</v>
      </c>
      <c r="H26" s="16" t="s">
        <v>52</v>
      </c>
    </row>
    <row r="27" spans="1:8" x14ac:dyDescent="0.25">
      <c r="A27" s="14">
        <v>26</v>
      </c>
      <c r="B27" s="23" t="s">
        <v>53</v>
      </c>
      <c r="C27" s="23" t="s">
        <v>32</v>
      </c>
      <c r="D27" s="23" t="s">
        <v>24</v>
      </c>
      <c r="E27" s="23">
        <v>13</v>
      </c>
      <c r="F27" s="23">
        <v>1</v>
      </c>
      <c r="G27" s="23" t="s">
        <v>27</v>
      </c>
      <c r="H27" s="16" t="s">
        <v>52</v>
      </c>
    </row>
    <row r="28" spans="1:8" x14ac:dyDescent="0.25">
      <c r="A28" s="14">
        <v>28</v>
      </c>
      <c r="B28" s="23" t="s">
        <v>54</v>
      </c>
      <c r="C28" s="15" t="s">
        <v>21</v>
      </c>
      <c r="D28" s="15" t="s">
        <v>24</v>
      </c>
      <c r="E28" s="15">
        <v>8</v>
      </c>
      <c r="F28" s="15">
        <v>3</v>
      </c>
      <c r="G28" s="15" t="s">
        <v>27</v>
      </c>
      <c r="H28" s="16" t="s">
        <v>52</v>
      </c>
    </row>
    <row r="29" spans="1:8" x14ac:dyDescent="0.25">
      <c r="A29" s="14">
        <v>29</v>
      </c>
      <c r="B29" s="15" t="s">
        <v>48</v>
      </c>
      <c r="C29" s="15" t="s">
        <v>21</v>
      </c>
      <c r="D29" s="15" t="s">
        <v>30</v>
      </c>
      <c r="E29" s="15">
        <v>21</v>
      </c>
      <c r="F29" s="15">
        <v>2</v>
      </c>
      <c r="G29" s="15" t="s">
        <v>27</v>
      </c>
      <c r="H29" s="16" t="s">
        <v>52</v>
      </c>
    </row>
    <row r="30" spans="1:8" x14ac:dyDescent="0.25">
      <c r="A30" s="14">
        <v>30</v>
      </c>
      <c r="B30" s="23" t="s">
        <v>49</v>
      </c>
      <c r="C30" s="23" t="s">
        <v>21</v>
      </c>
      <c r="D30" s="23" t="s">
        <v>30</v>
      </c>
      <c r="E30" s="23">
        <v>13</v>
      </c>
      <c r="F30" s="23">
        <v>2</v>
      </c>
      <c r="G30" s="23" t="s">
        <v>27</v>
      </c>
      <c r="H30" s="16" t="s">
        <v>52</v>
      </c>
    </row>
    <row r="31" spans="1:8" x14ac:dyDescent="0.25">
      <c r="A31" s="14">
        <v>31</v>
      </c>
      <c r="B31" s="23" t="s">
        <v>55</v>
      </c>
      <c r="C31" s="23" t="s">
        <v>21</v>
      </c>
      <c r="D31" s="23" t="s">
        <v>30</v>
      </c>
      <c r="E31" s="23">
        <v>21</v>
      </c>
      <c r="F31" s="23">
        <v>2</v>
      </c>
      <c r="G31" s="23" t="s">
        <v>27</v>
      </c>
      <c r="H31" s="16" t="s">
        <v>52</v>
      </c>
    </row>
    <row r="32" spans="1:8" x14ac:dyDescent="0.25">
      <c r="A32" s="9"/>
      <c r="B32" s="24"/>
      <c r="C32" s="24"/>
      <c r="D32" s="24"/>
      <c r="E32" s="24"/>
      <c r="F32" s="24"/>
      <c r="G32" s="24"/>
      <c r="H32" s="10"/>
    </row>
    <row r="33" spans="1:8" x14ac:dyDescent="0.25">
      <c r="A33" s="9"/>
      <c r="B33" s="24"/>
      <c r="C33" s="24"/>
      <c r="D33" s="24"/>
      <c r="E33" s="24"/>
      <c r="F33" s="24"/>
      <c r="G33" s="24"/>
      <c r="H33" s="10"/>
    </row>
    <row r="34" spans="1:8" x14ac:dyDescent="0.25">
      <c r="A34" s="9"/>
      <c r="B34" s="24"/>
      <c r="C34" s="24"/>
      <c r="D34" s="24"/>
      <c r="E34" s="24"/>
      <c r="F34" s="24"/>
      <c r="G34" s="24"/>
      <c r="H34" s="10"/>
    </row>
    <row r="35" spans="1:8" x14ac:dyDescent="0.25">
      <c r="A35" s="9"/>
      <c r="B35" s="24"/>
      <c r="C35" s="24"/>
      <c r="D35" s="24"/>
      <c r="E35" s="24"/>
      <c r="F35" s="24"/>
      <c r="G35" s="24"/>
      <c r="H35" s="10"/>
    </row>
    <row r="36" spans="1:8" x14ac:dyDescent="0.25">
      <c r="A36" s="9"/>
      <c r="B36" s="24"/>
      <c r="C36" s="24"/>
      <c r="D36" s="24"/>
      <c r="E36" s="24"/>
      <c r="F36" s="24"/>
      <c r="G36" s="24"/>
      <c r="H36" s="10"/>
    </row>
    <row r="37" spans="1:8" x14ac:dyDescent="0.25">
      <c r="A37" s="9"/>
      <c r="B37" s="24"/>
      <c r="C37" s="24"/>
      <c r="D37" s="24"/>
      <c r="E37" s="24"/>
      <c r="F37" s="24"/>
      <c r="G37" s="24"/>
      <c r="H37" s="10"/>
    </row>
  </sheetData>
  <phoneticPr fontId="3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ALEXANDRE DONISETE BEZERRA FILHO .</cp:lastModifiedBy>
  <cp:revision/>
  <dcterms:created xsi:type="dcterms:W3CDTF">2025-10-27T23:02:51Z</dcterms:created>
  <dcterms:modified xsi:type="dcterms:W3CDTF">2025-12-04T06:35:41Z</dcterms:modified>
  <cp:category/>
  <cp:contentStatus/>
</cp:coreProperties>
</file>