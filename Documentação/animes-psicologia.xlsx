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18E3D183-362B-490D-ADAE-6DC18469A18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O4" i="1" s="1"/>
  <c r="O5" i="1" s="1"/>
  <c r="O6" i="1" s="1"/>
  <c r="N2" i="1"/>
  <c r="L5" i="1"/>
  <c r="Q3" i="1" l="1"/>
  <c r="Q4" i="1"/>
  <c r="L2" i="1"/>
  <c r="Q2" i="1" l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<sst xmlns="http://schemas.openxmlformats.org/spreadsheetml/2006/main" count="169" uniqueCount="58">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</sst>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ont="1" applyFill="1" applyBorder="1" applyAlignment="1">
      <alignment horizontal="center"/>
    </xf>
    <xf numFmtId="0" fontId="0" fillId="6" borderId="6" xfId="0" applyFont="1" applyFill="1" applyBorder="1" applyAlignment="1">
      <alignment horizontal="center"/>
    </xf>
    <xf numFmtId="0" fontId="0" fillId="6" borderId="7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0000"/>
      </font>
      <alignment horizontal="center" vertical="center" textRotation="0" wrapText="0" indent="0" justifyLastLine="0" shrinkToFit="0" readingOrder="0"/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-87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385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113</c:v>
                      </c:pt>
                      <c:pt idx="1">
                        <c:v>92</c:v>
                      </c:pt>
                      <c:pt idx="2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3" dataDxfId="4" headerRowBorderDxfId="12" tableBorderDxfId="11" totalsRowBorderDxfId="10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0"/>
    <tableColumn id="2" xr3:uid="{00000000-0010-0000-0000-000002000000}" name="Requisito" dataDxfId="1"/>
    <tableColumn id="4" xr3:uid="{00000000-0010-0000-0000-000004000000}" name="Classificação" dataDxfId="2"/>
    <tableColumn id="5" xr3:uid="{00000000-0010-0000-0000-000005000000}" name="Tamanho" dataDxfId="9"/>
    <tableColumn id="6" xr3:uid="{00000000-0010-0000-0000-000006000000}" name="Tam (#)" dataDxfId="8"/>
    <tableColumn id="7" xr3:uid="{00000000-0010-0000-0000-000007000000}" name="Prioridade" dataDxfId="7"/>
    <tableColumn id="8" xr3:uid="{00000000-0010-0000-0000-000008000000}" name="SPRINT" dataDxfId="6"/>
    <tableColumn id="9" xr3:uid="{00000000-0010-0000-0000-000009000000}" name="Membro" dataDxfId="5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I18" sqref="I18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L1" s="22" t="s">
        <v>8</v>
      </c>
      <c r="M1" s="22" t="s">
        <v>9</v>
      </c>
      <c r="N1" s="22" t="s">
        <v>10</v>
      </c>
      <c r="O1" s="23" t="s">
        <v>11</v>
      </c>
      <c r="P1" s="24" t="s">
        <v>12</v>
      </c>
      <c r="Q1" s="24" t="s">
        <v>13</v>
      </c>
    </row>
    <row r="2" spans="1:17" x14ac:dyDescent="0.25">
      <c r="A2" s="16">
        <v>1</v>
      </c>
      <c r="B2" s="17" t="s">
        <v>14</v>
      </c>
      <c r="C2" s="17" t="s">
        <v>15</v>
      </c>
      <c r="D2" s="17" t="s">
        <v>16</v>
      </c>
      <c r="E2" s="17">
        <v>5</v>
      </c>
      <c r="F2" s="17">
        <v>2</v>
      </c>
      <c r="G2" s="17" t="s">
        <v>17</v>
      </c>
      <c r="H2" s="18" t="s">
        <v>53</v>
      </c>
      <c r="K2" s="19" t="s">
        <v>18</v>
      </c>
      <c r="L2" s="1">
        <f>SUM(L3,L4,L5,L6)</f>
        <v>385</v>
      </c>
      <c r="M2" s="1">
        <v>393</v>
      </c>
      <c r="N2" s="1">
        <f>SUM(N3,N4,N5,N6)</f>
        <v>113</v>
      </c>
      <c r="O2" s="7">
        <v>298</v>
      </c>
      <c r="P2" s="6">
        <v>282</v>
      </c>
      <c r="Q2" s="6">
        <f>SUM(Q3,Q4,Q5,Q6)</f>
        <v>65</v>
      </c>
    </row>
    <row r="3" spans="1:17" x14ac:dyDescent="0.25">
      <c r="A3" s="16">
        <v>2</v>
      </c>
      <c r="B3" s="17" t="s">
        <v>19</v>
      </c>
      <c r="C3" s="17" t="s">
        <v>15</v>
      </c>
      <c r="D3" s="17" t="s">
        <v>20</v>
      </c>
      <c r="E3" s="17">
        <v>3</v>
      </c>
      <c r="F3" s="17">
        <v>2</v>
      </c>
      <c r="G3" s="17" t="s">
        <v>17</v>
      </c>
      <c r="H3" s="18" t="s">
        <v>53</v>
      </c>
      <c r="K3" s="19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6">
        <v>3</v>
      </c>
      <c r="B4" s="17" t="s">
        <v>21</v>
      </c>
      <c r="C4" s="17" t="s">
        <v>22</v>
      </c>
      <c r="D4" s="17" t="s">
        <v>31</v>
      </c>
      <c r="E4" s="17">
        <v>21</v>
      </c>
      <c r="F4" s="17">
        <v>1</v>
      </c>
      <c r="G4" s="17" t="s">
        <v>17</v>
      </c>
      <c r="H4" s="18" t="s">
        <v>53</v>
      </c>
      <c r="K4" s="19" t="s">
        <v>23</v>
      </c>
      <c r="L4" s="1">
        <f>SUM(E10:E18)</f>
        <v>118</v>
      </c>
      <c r="M4" s="1">
        <v>118</v>
      </c>
      <c r="N4" s="1">
        <v>21</v>
      </c>
      <c r="O4" s="7">
        <f>O3-M4</f>
        <v>88</v>
      </c>
      <c r="P4" s="6">
        <f>P3-N4</f>
        <v>169</v>
      </c>
      <c r="Q4" s="6">
        <f>P4-O4</f>
        <v>81</v>
      </c>
    </row>
    <row r="5" spans="1:17" x14ac:dyDescent="0.25">
      <c r="A5" s="16">
        <v>4</v>
      </c>
      <c r="B5" s="17" t="s">
        <v>24</v>
      </c>
      <c r="C5" s="17" t="s">
        <v>22</v>
      </c>
      <c r="D5" s="17" t="s">
        <v>31</v>
      </c>
      <c r="E5" s="17">
        <v>13</v>
      </c>
      <c r="F5" s="17">
        <v>1</v>
      </c>
      <c r="G5" s="17" t="s">
        <v>17</v>
      </c>
      <c r="H5" s="18" t="s">
        <v>53</v>
      </c>
      <c r="K5" s="20" t="s">
        <v>26</v>
      </c>
      <c r="L5" s="3">
        <f>SUM(E19:E23)</f>
        <v>60</v>
      </c>
      <c r="M5" s="3">
        <v>60</v>
      </c>
      <c r="N5" s="3"/>
      <c r="O5" s="2">
        <f>O4-M5</f>
        <v>28</v>
      </c>
      <c r="P5" s="6"/>
      <c r="Q5" s="6"/>
    </row>
    <row r="6" spans="1:17" x14ac:dyDescent="0.25">
      <c r="A6" s="16">
        <v>5</v>
      </c>
      <c r="B6" s="17" t="s">
        <v>27</v>
      </c>
      <c r="C6" s="17" t="s">
        <v>22</v>
      </c>
      <c r="D6" s="17" t="s">
        <v>16</v>
      </c>
      <c r="E6" s="17">
        <v>8</v>
      </c>
      <c r="F6" s="17">
        <v>1</v>
      </c>
      <c r="G6" s="17" t="s">
        <v>17</v>
      </c>
      <c r="H6" s="18" t="s">
        <v>53</v>
      </c>
      <c r="K6" s="21" t="s">
        <v>28</v>
      </c>
      <c r="L6" s="6">
        <f>SUM(E24:E31)</f>
        <v>115</v>
      </c>
      <c r="M6" s="6">
        <v>115</v>
      </c>
      <c r="N6" s="6"/>
      <c r="O6" s="8">
        <f>O5-M6</f>
        <v>-87</v>
      </c>
      <c r="P6" s="6"/>
      <c r="Q6" s="6"/>
    </row>
    <row r="7" spans="1:17" x14ac:dyDescent="0.25">
      <c r="A7" s="16">
        <v>6</v>
      </c>
      <c r="B7" s="17" t="s">
        <v>29</v>
      </c>
      <c r="C7" s="17" t="s">
        <v>22</v>
      </c>
      <c r="D7" s="17" t="s">
        <v>16</v>
      </c>
      <c r="E7" s="17">
        <v>8</v>
      </c>
      <c r="F7" s="17">
        <v>1</v>
      </c>
      <c r="G7" s="17" t="s">
        <v>17</v>
      </c>
      <c r="H7" s="18" t="s">
        <v>53</v>
      </c>
      <c r="K7" s="4"/>
      <c r="O7" s="5"/>
    </row>
    <row r="8" spans="1:17" x14ac:dyDescent="0.25">
      <c r="A8" s="16">
        <v>7</v>
      </c>
      <c r="B8" s="17" t="s">
        <v>30</v>
      </c>
      <c r="C8" s="17" t="s">
        <v>22</v>
      </c>
      <c r="D8" s="17" t="s">
        <v>31</v>
      </c>
      <c r="E8" s="17">
        <v>13</v>
      </c>
      <c r="F8" s="17">
        <v>1</v>
      </c>
      <c r="G8" s="17" t="s">
        <v>17</v>
      </c>
      <c r="H8" s="18" t="s">
        <v>53</v>
      </c>
    </row>
    <row r="9" spans="1:17" x14ac:dyDescent="0.25">
      <c r="A9" s="16">
        <v>8</v>
      </c>
      <c r="B9" s="17" t="s">
        <v>32</v>
      </c>
      <c r="C9" s="17" t="s">
        <v>33</v>
      </c>
      <c r="D9" s="17" t="s">
        <v>40</v>
      </c>
      <c r="E9" s="17">
        <v>21</v>
      </c>
      <c r="F9" s="17">
        <v>1</v>
      </c>
      <c r="G9" s="17" t="s">
        <v>17</v>
      </c>
      <c r="H9" s="18" t="s">
        <v>53</v>
      </c>
    </row>
    <row r="10" spans="1:17" x14ac:dyDescent="0.25">
      <c r="A10" s="9">
        <v>9</v>
      </c>
      <c r="B10" s="10" t="s">
        <v>34</v>
      </c>
      <c r="C10" s="10" t="s">
        <v>22</v>
      </c>
      <c r="D10" s="10" t="s">
        <v>25</v>
      </c>
      <c r="E10" s="10">
        <v>13</v>
      </c>
      <c r="F10" s="10">
        <v>2</v>
      </c>
      <c r="G10" s="10" t="s">
        <v>23</v>
      </c>
      <c r="H10" s="11" t="s">
        <v>53</v>
      </c>
    </row>
    <row r="11" spans="1:17" x14ac:dyDescent="0.25">
      <c r="A11" s="9">
        <v>10</v>
      </c>
      <c r="B11" s="10" t="s">
        <v>35</v>
      </c>
      <c r="C11" s="10" t="s">
        <v>22</v>
      </c>
      <c r="D11" s="10" t="s">
        <v>25</v>
      </c>
      <c r="E11" s="10">
        <v>13</v>
      </c>
      <c r="F11" s="10">
        <v>2</v>
      </c>
      <c r="G11" s="10" t="s">
        <v>23</v>
      </c>
      <c r="H11" s="11" t="s">
        <v>53</v>
      </c>
    </row>
    <row r="12" spans="1:17" x14ac:dyDescent="0.25">
      <c r="A12" s="9">
        <v>11</v>
      </c>
      <c r="B12" s="10" t="s">
        <v>36</v>
      </c>
      <c r="C12" s="10" t="s">
        <v>22</v>
      </c>
      <c r="D12" s="10" t="s">
        <v>31</v>
      </c>
      <c r="E12" s="10">
        <v>21</v>
      </c>
      <c r="F12" s="10">
        <v>2</v>
      </c>
      <c r="G12" s="10" t="s">
        <v>23</v>
      </c>
      <c r="H12" s="11" t="s">
        <v>53</v>
      </c>
    </row>
    <row r="13" spans="1:17" x14ac:dyDescent="0.25">
      <c r="A13" s="16">
        <v>12</v>
      </c>
      <c r="B13" s="17" t="s">
        <v>37</v>
      </c>
      <c r="C13" s="17" t="s">
        <v>22</v>
      </c>
      <c r="D13" s="17" t="s">
        <v>25</v>
      </c>
      <c r="E13" s="17">
        <v>21</v>
      </c>
      <c r="F13" s="17">
        <v>2</v>
      </c>
      <c r="G13" s="17" t="s">
        <v>23</v>
      </c>
      <c r="H13" s="18" t="s">
        <v>53</v>
      </c>
    </row>
    <row r="14" spans="1:17" x14ac:dyDescent="0.25">
      <c r="A14" s="9">
        <v>13</v>
      </c>
      <c r="B14" s="10" t="s">
        <v>38</v>
      </c>
      <c r="C14" s="10" t="s">
        <v>22</v>
      </c>
      <c r="D14" s="10" t="s">
        <v>25</v>
      </c>
      <c r="E14" s="10">
        <v>21</v>
      </c>
      <c r="F14" s="10">
        <v>2</v>
      </c>
      <c r="G14" s="10" t="s">
        <v>23</v>
      </c>
      <c r="H14" s="11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9">
        <v>18</v>
      </c>
      <c r="B19" s="10" t="s">
        <v>39</v>
      </c>
      <c r="C19" s="10" t="s">
        <v>33</v>
      </c>
      <c r="D19" s="10" t="s">
        <v>40</v>
      </c>
      <c r="E19" s="10">
        <v>21</v>
      </c>
      <c r="F19" s="10">
        <v>2</v>
      </c>
      <c r="G19" s="10" t="s">
        <v>26</v>
      </c>
      <c r="H19" s="11" t="s">
        <v>53</v>
      </c>
    </row>
    <row r="20" spans="1:8" x14ac:dyDescent="0.25">
      <c r="A20" s="9">
        <v>19</v>
      </c>
      <c r="B20" s="10" t="s">
        <v>41</v>
      </c>
      <c r="C20" s="10" t="s">
        <v>15</v>
      </c>
      <c r="D20" s="10" t="s">
        <v>25</v>
      </c>
      <c r="E20" s="10">
        <v>13</v>
      </c>
      <c r="F20" s="10">
        <v>2</v>
      </c>
      <c r="G20" s="10" t="s">
        <v>26</v>
      </c>
      <c r="H20" s="11" t="s">
        <v>53</v>
      </c>
    </row>
    <row r="21" spans="1:8" x14ac:dyDescent="0.25">
      <c r="A21" s="9">
        <v>20</v>
      </c>
      <c r="B21" s="10" t="s">
        <v>45</v>
      </c>
      <c r="C21" s="10" t="s">
        <v>22</v>
      </c>
      <c r="D21" s="10" t="s">
        <v>31</v>
      </c>
      <c r="E21" s="10">
        <v>13</v>
      </c>
      <c r="F21" s="10">
        <v>3</v>
      </c>
      <c r="G21" s="10" t="s">
        <v>26</v>
      </c>
      <c r="H21" s="11" t="s">
        <v>53</v>
      </c>
    </row>
    <row r="22" spans="1:8" x14ac:dyDescent="0.25">
      <c r="A22" s="9">
        <v>21</v>
      </c>
      <c r="B22" s="10" t="s">
        <v>46</v>
      </c>
      <c r="C22" s="10" t="s">
        <v>22</v>
      </c>
      <c r="D22" s="10" t="s">
        <v>16</v>
      </c>
      <c r="E22" s="10">
        <v>5</v>
      </c>
      <c r="F22" s="10">
        <v>3</v>
      </c>
      <c r="G22" s="10" t="s">
        <v>26</v>
      </c>
      <c r="H22" s="11" t="s">
        <v>53</v>
      </c>
    </row>
    <row r="23" spans="1:8" x14ac:dyDescent="0.25">
      <c r="A23" s="9">
        <v>22</v>
      </c>
      <c r="B23" s="10" t="s">
        <v>47</v>
      </c>
      <c r="C23" s="10" t="s">
        <v>22</v>
      </c>
      <c r="D23" s="10" t="s">
        <v>25</v>
      </c>
      <c r="E23" s="10">
        <v>8</v>
      </c>
      <c r="F23" s="10">
        <v>3</v>
      </c>
      <c r="G23" s="10" t="s">
        <v>26</v>
      </c>
      <c r="H23" s="11" t="s">
        <v>53</v>
      </c>
    </row>
    <row r="24" spans="1:8" x14ac:dyDescent="0.25">
      <c r="A24" s="9">
        <v>23</v>
      </c>
      <c r="B24" s="10" t="s">
        <v>42</v>
      </c>
      <c r="C24" s="10" t="s">
        <v>22</v>
      </c>
      <c r="D24" s="10" t="s">
        <v>16</v>
      </c>
      <c r="E24" s="10">
        <v>13</v>
      </c>
      <c r="F24" s="10">
        <v>2</v>
      </c>
      <c r="G24" s="10" t="s">
        <v>28</v>
      </c>
      <c r="H24" s="11" t="s">
        <v>53</v>
      </c>
    </row>
    <row r="25" spans="1:8" x14ac:dyDescent="0.25">
      <c r="A25" s="9">
        <v>24</v>
      </c>
      <c r="B25" s="10" t="s">
        <v>43</v>
      </c>
      <c r="C25" s="10" t="s">
        <v>22</v>
      </c>
      <c r="D25" s="10" t="s">
        <v>16</v>
      </c>
      <c r="E25" s="10">
        <v>13</v>
      </c>
      <c r="F25" s="10">
        <v>1</v>
      </c>
      <c r="G25" s="10" t="s">
        <v>28</v>
      </c>
      <c r="H25" s="11" t="s">
        <v>53</v>
      </c>
    </row>
    <row r="26" spans="1:8" x14ac:dyDescent="0.25">
      <c r="A26" s="9">
        <v>25</v>
      </c>
      <c r="B26" s="10" t="s">
        <v>44</v>
      </c>
      <c r="C26" s="10" t="s">
        <v>22</v>
      </c>
      <c r="D26" s="10" t="s">
        <v>40</v>
      </c>
      <c r="E26" s="10">
        <v>21</v>
      </c>
      <c r="F26" s="10">
        <v>2</v>
      </c>
      <c r="G26" s="10" t="s">
        <v>28</v>
      </c>
      <c r="H26" s="11" t="s">
        <v>53</v>
      </c>
    </row>
    <row r="27" spans="1:8" x14ac:dyDescent="0.25">
      <c r="A27" s="9">
        <v>26</v>
      </c>
      <c r="B27" s="12" t="s">
        <v>54</v>
      </c>
      <c r="C27" s="12" t="s">
        <v>33</v>
      </c>
      <c r="D27" s="12" t="s">
        <v>25</v>
      </c>
      <c r="E27" s="12">
        <v>13</v>
      </c>
      <c r="F27" s="12">
        <v>1</v>
      </c>
      <c r="G27" s="12" t="s">
        <v>28</v>
      </c>
      <c r="H27" s="11" t="s">
        <v>53</v>
      </c>
    </row>
    <row r="28" spans="1:8" x14ac:dyDescent="0.25">
      <c r="A28" s="9">
        <v>28</v>
      </c>
      <c r="B28" s="12" t="s">
        <v>55</v>
      </c>
      <c r="C28" s="10" t="s">
        <v>22</v>
      </c>
      <c r="D28" s="10" t="s">
        <v>25</v>
      </c>
      <c r="E28" s="10">
        <v>8</v>
      </c>
      <c r="F28" s="10">
        <v>3</v>
      </c>
      <c r="G28" s="10" t="s">
        <v>28</v>
      </c>
      <c r="H28" s="11" t="s">
        <v>53</v>
      </c>
    </row>
    <row r="29" spans="1:8" x14ac:dyDescent="0.25">
      <c r="A29" s="9">
        <v>29</v>
      </c>
      <c r="B29" s="10" t="s">
        <v>49</v>
      </c>
      <c r="C29" s="10" t="s">
        <v>22</v>
      </c>
      <c r="D29" s="10" t="s">
        <v>31</v>
      </c>
      <c r="E29" s="10">
        <v>13</v>
      </c>
      <c r="F29" s="10">
        <v>2</v>
      </c>
      <c r="G29" s="10" t="s">
        <v>28</v>
      </c>
      <c r="H29" s="11" t="s">
        <v>53</v>
      </c>
    </row>
    <row r="30" spans="1:8" x14ac:dyDescent="0.25">
      <c r="A30" s="9">
        <v>30</v>
      </c>
      <c r="B30" s="12" t="s">
        <v>50</v>
      </c>
      <c r="C30" s="12" t="s">
        <v>22</v>
      </c>
      <c r="D30" s="12" t="s">
        <v>31</v>
      </c>
      <c r="E30" s="12">
        <v>13</v>
      </c>
      <c r="F30" s="12">
        <v>2</v>
      </c>
      <c r="G30" s="12" t="s">
        <v>28</v>
      </c>
      <c r="H30" s="11" t="s">
        <v>53</v>
      </c>
    </row>
    <row r="31" spans="1:8" x14ac:dyDescent="0.25">
      <c r="A31" s="9">
        <v>31</v>
      </c>
      <c r="B31" s="12" t="s">
        <v>56</v>
      </c>
      <c r="C31" s="12" t="s">
        <v>22</v>
      </c>
      <c r="D31" s="12" t="s">
        <v>31</v>
      </c>
      <c r="E31" s="12">
        <v>21</v>
      </c>
      <c r="F31" s="12">
        <v>2</v>
      </c>
      <c r="G31" s="12" t="s">
        <v>28</v>
      </c>
      <c r="H31" s="11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2025-11-12T01:50:51Z</dcterms:modified>
  <cp:category/>
  <cp:contentStatus/>
</cp:coreProperties>
</file>